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isy Lopes\Downloads\"/>
    </mc:Choice>
  </mc:AlternateContent>
  <xr:revisionPtr revIDLastSave="0" documentId="8_{A0B647F9-3C59-4E77-8FAC-2E27C1D56B8E}" xr6:coauthVersionLast="47" xr6:coauthVersionMax="47" xr10:uidLastSave="{00000000-0000-0000-0000-000000000000}"/>
  <bookViews>
    <workbookView xWindow="-108" yWindow="-108" windowWidth="23256" windowHeight="12456" activeTab="1" xr2:uid="{4AF83876-33A6-4440-AE92-F4EB9E932A70}"/>
  </bookViews>
  <sheets>
    <sheet name="EXTERNO" sheetId="1" r:id="rId1"/>
    <sheet name="INTER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29" i="2"/>
  <c r="B28" i="2"/>
  <c r="B27" i="2"/>
  <c r="B26" i="2"/>
  <c r="B25" i="2"/>
  <c r="B24" i="2"/>
  <c r="B15" i="2"/>
  <c r="B11" i="2" s="1"/>
  <c r="C27" i="2" s="1"/>
  <c r="B1" i="2"/>
  <c r="B25" i="1"/>
  <c r="B26" i="1"/>
  <c r="B27" i="1"/>
  <c r="B28" i="1"/>
  <c r="B29" i="1"/>
  <c r="B24" i="1"/>
  <c r="B1" i="1"/>
  <c r="C11" i="2" l="1"/>
  <c r="C28" i="2"/>
  <c r="F28" i="2" s="1"/>
  <c r="C25" i="2"/>
  <c r="F25" i="2" s="1"/>
  <c r="C1" i="2"/>
  <c r="E27" i="2"/>
  <c r="F27" i="2"/>
  <c r="D27" i="2"/>
  <c r="B20" i="2"/>
  <c r="C26" i="2"/>
  <c r="C29" i="2"/>
  <c r="C24" i="2"/>
  <c r="D25" i="2" l="1"/>
  <c r="D28" i="2"/>
  <c r="E28" i="2"/>
  <c r="E25" i="2"/>
  <c r="E29" i="2"/>
  <c r="D29" i="2"/>
  <c r="F29" i="2"/>
  <c r="F24" i="2"/>
  <c r="E24" i="2"/>
  <c r="D24" i="2"/>
  <c r="F26" i="2"/>
  <c r="E26" i="2"/>
  <c r="D26" i="2"/>
  <c r="C30" i="2"/>
  <c r="B11" i="1"/>
  <c r="C11" i="1" s="1"/>
  <c r="G30" i="2" l="1"/>
  <c r="C27" i="1"/>
  <c r="F27" i="1" s="1"/>
  <c r="C26" i="1"/>
  <c r="F26" i="1" s="1"/>
  <c r="B20" i="1"/>
  <c r="C1" i="1"/>
  <c r="C28" i="1"/>
  <c r="F28" i="1" s="1"/>
  <c r="C25" i="1"/>
  <c r="F25" i="1" s="1"/>
  <c r="C29" i="1"/>
  <c r="D29" i="1" s="1"/>
  <c r="C24" i="1"/>
  <c r="E24" i="1" s="1"/>
  <c r="E27" i="1" l="1"/>
  <c r="D27" i="1"/>
  <c r="D26" i="1"/>
  <c r="E26" i="1"/>
  <c r="E29" i="1"/>
  <c r="F29" i="1"/>
  <c r="E28" i="1"/>
  <c r="C30" i="1"/>
  <c r="F24" i="1"/>
  <c r="D25" i="1"/>
  <c r="D24" i="1"/>
  <c r="D28" i="1"/>
  <c r="E25" i="1"/>
  <c r="G30" i="1" l="1"/>
</calcChain>
</file>

<file path=xl/sharedStrings.xml><?xml version="1.0" encoding="utf-8"?>
<sst xmlns="http://schemas.openxmlformats.org/spreadsheetml/2006/main" count="48" uniqueCount="15">
  <si>
    <t>COMISSÃO TOTAL</t>
  </si>
  <si>
    <t>CORRETOR</t>
  </si>
  <si>
    <t>DIRETOR</t>
  </si>
  <si>
    <t>NOHROS</t>
  </si>
  <si>
    <t>FERRETI</t>
  </si>
  <si>
    <t>BETON</t>
  </si>
  <si>
    <t>PROMOTORA</t>
  </si>
  <si>
    <t>VALOR TOTAL VENDA</t>
  </si>
  <si>
    <t>PRO SOLUTO</t>
  </si>
  <si>
    <t>SINAL</t>
  </si>
  <si>
    <t>PARCELA</t>
  </si>
  <si>
    <t>BALÃO</t>
  </si>
  <si>
    <t>FATOR DA COMISSÃO</t>
  </si>
  <si>
    <t>FATOR</t>
  </si>
  <si>
    <t>VALOR FINANCIANDO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</si>
</sst>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\ &quot;parcelas&quot;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u val="singleAccounting"/>
      <sz val="11"/>
      <color rgb="FF0000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0" applyNumberFormat="1"/>
    <xf numFmtId="10" fontId="2" fillId="0" borderId="0" xfId="2" applyNumberFormat="1" applyFont="1"/>
    <xf numFmtId="44" fontId="0" fillId="0" borderId="0" xfId="1" applyFont="1"/>
    <xf numFmtId="44" fontId="0" fillId="0" borderId="0" xfId="0" applyNumberFormat="1"/>
    <xf numFmtId="44" fontId="3" fillId="0" borderId="0" xfId="1" applyFont="1"/>
    <xf numFmtId="164" fontId="3" fillId="0" borderId="0" xfId="1" applyNumberFormat="1" applyFont="1" applyAlignment="1">
      <alignment horizontal="center"/>
    </xf>
    <xf numFmtId="10" fontId="0" fillId="2" borderId="0" xfId="0" applyNumberFormat="1" applyFill="1" applyAlignment="1">
      <alignment horizontal="center"/>
    </xf>
    <xf numFmtId="44" fontId="0" fillId="2" borderId="0" xfId="1" applyFont="1" applyFill="1"/>
    <xf numFmtId="44" fontId="0" fillId="0" borderId="1" xfId="0" applyNumberFormat="1" applyBorder="1"/>
    <xf numFmtId="44" fontId="0" fillId="0" borderId="2" xfId="0" applyNumberFormat="1" applyBorder="1"/>
    <xf numFmtId="44" fontId="0" fillId="0" borderId="3" xfId="0" applyNumberFormat="1" applyBorder="1"/>
    <xf numFmtId="44" fontId="0" fillId="0" borderId="4" xfId="0" applyNumberFormat="1" applyBorder="1"/>
    <xf numFmtId="44" fontId="0" fillId="0" borderId="5" xfId="0" applyNumberFormat="1" applyBorder="1"/>
    <xf numFmtId="44" fontId="0" fillId="0" borderId="6" xfId="0" applyNumberFormat="1" applyBorder="1"/>
    <xf numFmtId="44" fontId="0" fillId="0" borderId="7" xfId="0" applyNumberFormat="1" applyBorder="1"/>
    <xf numFmtId="44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70B86-80C2-4752-9F9C-44A70FD595BE}">
  <dimension ref="A1:G30"/>
  <sheetViews>
    <sheetView workbookViewId="0">
      <selection activeCell="B12" sqref="B12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3" width="12.88671875" bestFit="1" customWidth="1"/>
    <col min="4" max="4" width="11.88671875" bestFit="1" customWidth="1"/>
    <col min="5" max="5" width="12.88671875" bestFit="1" customWidth="1"/>
    <col min="6" max="6" width="11.88671875" bestFit="1" customWidth="1"/>
    <col min="7" max="7" width="10.109375" bestFit="1" customWidth="1"/>
  </cols>
  <sheetData>
    <row r="1" spans="1:3" x14ac:dyDescent="0.3">
      <c r="A1" t="s">
        <v>0</v>
      </c>
      <c r="B1" s="1">
        <f>SUM(B2:B7)</f>
        <v>7.0000000000000007E-2</v>
      </c>
      <c r="C1" s="3">
        <f>B1*B11</f>
        <v>27601.639800000004</v>
      </c>
    </row>
    <row r="2" spans="1:3" x14ac:dyDescent="0.3">
      <c r="A2" t="s">
        <v>1</v>
      </c>
      <c r="B2" s="2">
        <v>0.04</v>
      </c>
      <c r="C2" s="2"/>
    </row>
    <row r="3" spans="1:3" x14ac:dyDescent="0.3">
      <c r="A3" t="s">
        <v>2</v>
      </c>
      <c r="B3" s="2">
        <v>5.0000000000000001E-3</v>
      </c>
      <c r="C3" s="2"/>
    </row>
    <row r="4" spans="1:3" x14ac:dyDescent="0.3">
      <c r="A4" t="s">
        <v>3</v>
      </c>
      <c r="B4" s="2">
        <v>5.0000000000000001E-3</v>
      </c>
      <c r="C4" s="2"/>
    </row>
    <row r="5" spans="1:3" x14ac:dyDescent="0.3">
      <c r="A5" t="s">
        <v>4</v>
      </c>
      <c r="B5" s="2">
        <v>0.01</v>
      </c>
      <c r="C5" s="2"/>
    </row>
    <row r="6" spans="1:3" x14ac:dyDescent="0.3">
      <c r="A6" t="s">
        <v>5</v>
      </c>
      <c r="B6" s="2">
        <v>5.0000000000000001E-3</v>
      </c>
      <c r="C6" s="2"/>
    </row>
    <row r="7" spans="1:3" x14ac:dyDescent="0.3">
      <c r="A7" t="s">
        <v>6</v>
      </c>
      <c r="B7" s="2">
        <v>5.0000000000000001E-3</v>
      </c>
      <c r="C7" s="2"/>
    </row>
    <row r="11" spans="1:3" x14ac:dyDescent="0.3">
      <c r="A11" t="s">
        <v>7</v>
      </c>
      <c r="B11" s="3">
        <f>B13+B15</f>
        <v>394309.14</v>
      </c>
      <c r="C11" s="8" t="str">
        <f>IF(B11=SUM(B13:B15),"VERDADE","FALSO")</f>
        <v>VERDADE</v>
      </c>
    </row>
    <row r="12" spans="1:3" x14ac:dyDescent="0.3">
      <c r="B12" s="3"/>
      <c r="C12" s="3"/>
    </row>
    <row r="13" spans="1:3" ht="16.2" x14ac:dyDescent="0.45">
      <c r="A13" t="s">
        <v>14</v>
      </c>
      <c r="B13" s="5">
        <v>315447.34000000003</v>
      </c>
    </row>
    <row r="14" spans="1:3" ht="16.2" x14ac:dyDescent="0.45">
      <c r="B14" s="5"/>
    </row>
    <row r="15" spans="1:3" x14ac:dyDescent="0.3">
      <c r="A15" t="s">
        <v>8</v>
      </c>
      <c r="B15" s="3">
        <f>SUM(B16:B18)</f>
        <v>78861.8</v>
      </c>
      <c r="C15" s="4"/>
    </row>
    <row r="16" spans="1:3" ht="16.2" x14ac:dyDescent="0.45">
      <c r="A16" t="s">
        <v>9</v>
      </c>
      <c r="B16" s="5">
        <v>0</v>
      </c>
      <c r="C16" s="5"/>
    </row>
    <row r="17" spans="1:7" ht="16.2" x14ac:dyDescent="0.45">
      <c r="A17" t="s">
        <v>10</v>
      </c>
      <c r="B17" s="5">
        <v>60000</v>
      </c>
      <c r="C17" s="6">
        <v>60</v>
      </c>
    </row>
    <row r="18" spans="1:7" ht="16.2" x14ac:dyDescent="0.45">
      <c r="A18" t="s">
        <v>11</v>
      </c>
      <c r="B18" s="5">
        <v>18861.8</v>
      </c>
      <c r="C18" s="6">
        <v>5</v>
      </c>
    </row>
    <row r="20" spans="1:7" x14ac:dyDescent="0.3">
      <c r="A20" t="s">
        <v>12</v>
      </c>
      <c r="B20" s="1">
        <f>(B1*B11)/B15</f>
        <v>0.35000012426802335</v>
      </c>
      <c r="C20" s="1"/>
    </row>
    <row r="22" spans="1:7" ht="15" thickBot="1" x14ac:dyDescent="0.35"/>
    <row r="23" spans="1:7" ht="15" thickBot="1" x14ac:dyDescent="0.35">
      <c r="C23" t="s">
        <v>13</v>
      </c>
      <c r="D23" s="17" t="s">
        <v>9</v>
      </c>
      <c r="E23" s="18" t="s">
        <v>10</v>
      </c>
      <c r="F23" s="19" t="s">
        <v>11</v>
      </c>
    </row>
    <row r="24" spans="1:7" x14ac:dyDescent="0.3">
      <c r="A24" t="s">
        <v>1</v>
      </c>
      <c r="B24" s="1">
        <f>B2</f>
        <v>0.04</v>
      </c>
      <c r="C24" s="1">
        <f t="shared" ref="C24:C29" si="0">($B$11*B24)/$B$15</f>
        <v>0.20000007101029904</v>
      </c>
      <c r="D24" s="9">
        <f>$B$16*C24</f>
        <v>0</v>
      </c>
      <c r="E24" s="10">
        <f>($B$17*C24)</f>
        <v>12000.004260617943</v>
      </c>
      <c r="F24" s="11">
        <f>$B$18*C24</f>
        <v>3772.3613393820583</v>
      </c>
    </row>
    <row r="25" spans="1:7" x14ac:dyDescent="0.3">
      <c r="A25" t="s">
        <v>2</v>
      </c>
      <c r="B25" s="1">
        <f t="shared" ref="B25:B29" si="1">B3</f>
        <v>5.0000000000000001E-3</v>
      </c>
      <c r="C25" s="1">
        <f t="shared" si="0"/>
        <v>2.500000887628738E-2</v>
      </c>
      <c r="D25" s="12">
        <f t="shared" ref="D25:D29" si="2">$B$16*C25</f>
        <v>0</v>
      </c>
      <c r="E25" s="4">
        <f t="shared" ref="E25:E29" si="3">($B$17*C25)</f>
        <v>1500.0005325772429</v>
      </c>
      <c r="F25" s="13">
        <f t="shared" ref="F25:F29" si="4">$B$18*C25</f>
        <v>471.54516742275729</v>
      </c>
    </row>
    <row r="26" spans="1:7" x14ac:dyDescent="0.3">
      <c r="A26" t="s">
        <v>3</v>
      </c>
      <c r="B26" s="1">
        <f t="shared" si="1"/>
        <v>5.0000000000000001E-3</v>
      </c>
      <c r="C26" s="1">
        <f t="shared" si="0"/>
        <v>2.500000887628738E-2</v>
      </c>
      <c r="D26" s="12">
        <f t="shared" si="2"/>
        <v>0</v>
      </c>
      <c r="E26" s="4">
        <f t="shared" si="3"/>
        <v>1500.0005325772429</v>
      </c>
      <c r="F26" s="13">
        <f t="shared" si="4"/>
        <v>471.54516742275729</v>
      </c>
    </row>
    <row r="27" spans="1:7" x14ac:dyDescent="0.3">
      <c r="A27" t="s">
        <v>4</v>
      </c>
      <c r="B27" s="1">
        <f t="shared" si="1"/>
        <v>0.01</v>
      </c>
      <c r="C27" s="1">
        <f t="shared" si="0"/>
        <v>5.000001775257476E-2</v>
      </c>
      <c r="D27" s="12">
        <f t="shared" si="2"/>
        <v>0</v>
      </c>
      <c r="E27" s="4">
        <f t="shared" si="3"/>
        <v>3000.0010651544858</v>
      </c>
      <c r="F27" s="13">
        <f t="shared" si="4"/>
        <v>943.09033484551458</v>
      </c>
    </row>
    <row r="28" spans="1:7" x14ac:dyDescent="0.3">
      <c r="A28" t="s">
        <v>5</v>
      </c>
      <c r="B28" s="1">
        <f t="shared" si="1"/>
        <v>5.0000000000000001E-3</v>
      </c>
      <c r="C28" s="1">
        <f t="shared" si="0"/>
        <v>2.500000887628738E-2</v>
      </c>
      <c r="D28" s="12">
        <f t="shared" si="2"/>
        <v>0</v>
      </c>
      <c r="E28" s="4">
        <f t="shared" si="3"/>
        <v>1500.0005325772429</v>
      </c>
      <c r="F28" s="13">
        <f t="shared" si="4"/>
        <v>471.54516742275729</v>
      </c>
    </row>
    <row r="29" spans="1:7" ht="15" thickBot="1" x14ac:dyDescent="0.35">
      <c r="A29" t="s">
        <v>6</v>
      </c>
      <c r="B29" s="1">
        <f t="shared" si="1"/>
        <v>5.0000000000000001E-3</v>
      </c>
      <c r="C29" s="1">
        <f t="shared" si="0"/>
        <v>2.500000887628738E-2</v>
      </c>
      <c r="D29" s="14">
        <f t="shared" si="2"/>
        <v>0</v>
      </c>
      <c r="E29" s="15">
        <f t="shared" si="3"/>
        <v>1500.0005325772429</v>
      </c>
      <c r="F29" s="16">
        <f t="shared" si="4"/>
        <v>471.54516742275729</v>
      </c>
    </row>
    <row r="30" spans="1:7" x14ac:dyDescent="0.3">
      <c r="C30" s="7" t="str">
        <f>IF(B20=SUM(C24:C29),"VERDADE","FALSO")</f>
        <v>VERDADE</v>
      </c>
      <c r="D30" s="4"/>
      <c r="E30" s="4"/>
      <c r="F30" s="4"/>
      <c r="G30" s="8" t="str">
        <f>IF(C1=SUM(D24:F29),"VERDADE","FALSO")</f>
        <v>VERDADE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0C30-AABE-40EE-B5C7-90989482FC2A}">
  <dimension ref="A1:G30"/>
  <sheetViews>
    <sheetView tabSelected="1" workbookViewId="0">
      <selection activeCell="J16" sqref="J16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3" width="12.88671875" bestFit="1" customWidth="1"/>
    <col min="4" max="4" width="11.88671875" bestFit="1" customWidth="1"/>
    <col min="5" max="5" width="12.88671875" bestFit="1" customWidth="1"/>
    <col min="6" max="6" width="11.88671875" bestFit="1" customWidth="1"/>
    <col min="7" max="7" width="10.109375" bestFit="1" customWidth="1"/>
  </cols>
  <sheetData>
    <row r="1" spans="1:3" x14ac:dyDescent="0.3">
      <c r="A1" t="s">
        <v>0</v>
      </c>
      <c r="B1" s="1">
        <f>SUM(B2:B7)</f>
        <v>6.5000000000000002E-2</v>
      </c>
      <c r="C1" s="3">
        <f>B1*B11</f>
        <v>27769.368900000001</v>
      </c>
    </row>
    <row r="2" spans="1:3" x14ac:dyDescent="0.3">
      <c r="A2" t="s">
        <v>1</v>
      </c>
      <c r="B2" s="2">
        <v>2.5000000000000001E-2</v>
      </c>
      <c r="C2" s="2"/>
    </row>
    <row r="3" spans="1:3" x14ac:dyDescent="0.3">
      <c r="A3" t="s">
        <v>2</v>
      </c>
      <c r="B3" s="2">
        <v>5.0000000000000001E-3</v>
      </c>
      <c r="C3" s="2"/>
    </row>
    <row r="4" spans="1:3" x14ac:dyDescent="0.3">
      <c r="A4" t="s">
        <v>3</v>
      </c>
      <c r="B4" s="2">
        <v>1.2500000000000001E-2</v>
      </c>
      <c r="C4" s="2"/>
    </row>
    <row r="5" spans="1:3" x14ac:dyDescent="0.3">
      <c r="A5" t="s">
        <v>4</v>
      </c>
      <c r="B5" s="2">
        <v>0.01</v>
      </c>
      <c r="C5" s="2"/>
    </row>
    <row r="6" spans="1:3" x14ac:dyDescent="0.3">
      <c r="A6" t="s">
        <v>5</v>
      </c>
      <c r="B6" s="2">
        <v>1.2500000000000001E-2</v>
      </c>
      <c r="C6" s="2"/>
    </row>
    <row r="7" spans="1:3" x14ac:dyDescent="0.3">
      <c r="A7" t="s">
        <v>6</v>
      </c>
      <c r="B7" s="2">
        <v>0</v>
      </c>
      <c r="C7" s="2"/>
    </row>
    <row r="11" spans="1:3" x14ac:dyDescent="0.3">
      <c r="A11" t="s">
        <v>7</v>
      </c>
      <c r="B11" s="3">
        <f>B13+B15</f>
        <v>427221.06</v>
      </c>
      <c r="C11" s="8" t="str">
        <f>IF(B11=SUM(B13:B15),"VERDADE","FALSO")</f>
        <v>VERDADE</v>
      </c>
    </row>
    <row r="12" spans="1:3" x14ac:dyDescent="0.3">
      <c r="B12" s="3"/>
      <c r="C12" s="3"/>
    </row>
    <row r="13" spans="1:3" ht="16.2" x14ac:dyDescent="0.45">
      <c r="A13" t="s">
        <v>14</v>
      </c>
      <c r="B13" s="5">
        <v>258212.06</v>
      </c>
    </row>
    <row r="14" spans="1:3" ht="16.2" x14ac:dyDescent="0.45">
      <c r="B14" s="5"/>
    </row>
    <row r="15" spans="1:3" x14ac:dyDescent="0.3">
      <c r="A15" t="s">
        <v>8</v>
      </c>
      <c r="B15" s="3">
        <f>SUM(B16:B18)</f>
        <v>169009</v>
      </c>
      <c r="C15" s="4"/>
    </row>
    <row r="16" spans="1:3" ht="16.2" x14ac:dyDescent="0.45">
      <c r="A16" t="s">
        <v>9</v>
      </c>
      <c r="B16" s="5">
        <v>20000</v>
      </c>
      <c r="C16" s="5"/>
    </row>
    <row r="17" spans="1:7" ht="16.2" x14ac:dyDescent="0.45">
      <c r="A17" t="s">
        <v>10</v>
      </c>
      <c r="B17" s="5">
        <v>99009</v>
      </c>
      <c r="C17" s="6">
        <v>60</v>
      </c>
    </row>
    <row r="18" spans="1:7" ht="16.2" x14ac:dyDescent="0.45">
      <c r="A18" t="s">
        <v>11</v>
      </c>
      <c r="B18" s="5">
        <v>50000</v>
      </c>
      <c r="C18" s="6">
        <v>0</v>
      </c>
    </row>
    <row r="20" spans="1:7" x14ac:dyDescent="0.3">
      <c r="A20" t="s">
        <v>12</v>
      </c>
      <c r="B20" s="1">
        <f>(B1*B11)/B15</f>
        <v>0.16430704222852038</v>
      </c>
      <c r="C20" s="1"/>
    </row>
    <row r="22" spans="1:7" ht="15" thickBot="1" x14ac:dyDescent="0.35"/>
    <row r="23" spans="1:7" ht="15" thickBot="1" x14ac:dyDescent="0.35">
      <c r="C23" t="s">
        <v>13</v>
      </c>
      <c r="D23" s="17" t="s">
        <v>9</v>
      </c>
      <c r="E23" s="18" t="s">
        <v>10</v>
      </c>
      <c r="F23" s="19" t="s">
        <v>11</v>
      </c>
    </row>
    <row r="24" spans="1:7" x14ac:dyDescent="0.3">
      <c r="A24" t="s">
        <v>1</v>
      </c>
      <c r="B24" s="1">
        <f>B2</f>
        <v>2.5000000000000001E-2</v>
      </c>
      <c r="C24" s="1">
        <f t="shared" ref="C24:C29" si="0">($B$11*B24)/$B$15</f>
        <v>6.3195016241738608E-2</v>
      </c>
      <c r="D24" s="9">
        <f>$B$16*C24</f>
        <v>1263.9003248347722</v>
      </c>
      <c r="E24" s="10">
        <f>($B$17*C24)</f>
        <v>6256.8753630782976</v>
      </c>
      <c r="F24" s="11">
        <f>$B$18*C24</f>
        <v>3159.7508120869302</v>
      </c>
    </row>
    <row r="25" spans="1:7" x14ac:dyDescent="0.3">
      <c r="A25" t="s">
        <v>2</v>
      </c>
      <c r="B25" s="1">
        <f t="shared" ref="B25:B29" si="1">B3</f>
        <v>5.0000000000000001E-3</v>
      </c>
      <c r="C25" s="1">
        <f t="shared" si="0"/>
        <v>1.2639003248347722E-2</v>
      </c>
      <c r="D25" s="12">
        <f t="shared" ref="D25:D29" si="2">$B$16*C25</f>
        <v>252.78006496695443</v>
      </c>
      <c r="E25" s="4">
        <f t="shared" ref="E25:E29" si="3">($B$17*C25)</f>
        <v>1251.3750726156595</v>
      </c>
      <c r="F25" s="13">
        <f t="shared" ref="F25:F29" si="4">$B$18*C25</f>
        <v>631.95016241738608</v>
      </c>
    </row>
    <row r="26" spans="1:7" x14ac:dyDescent="0.3">
      <c r="A26" t="s">
        <v>3</v>
      </c>
      <c r="B26" s="1">
        <f t="shared" si="1"/>
        <v>1.2500000000000001E-2</v>
      </c>
      <c r="C26" s="1">
        <f t="shared" si="0"/>
        <v>3.1597508120869304E-2</v>
      </c>
      <c r="D26" s="12">
        <f t="shared" si="2"/>
        <v>631.95016241738608</v>
      </c>
      <c r="E26" s="4">
        <f t="shared" si="3"/>
        <v>3128.4376815391488</v>
      </c>
      <c r="F26" s="13">
        <f t="shared" si="4"/>
        <v>1579.8754060434651</v>
      </c>
    </row>
    <row r="27" spans="1:7" x14ac:dyDescent="0.3">
      <c r="A27" t="s">
        <v>4</v>
      </c>
      <c r="B27" s="1">
        <f t="shared" si="1"/>
        <v>0.01</v>
      </c>
      <c r="C27" s="1">
        <f t="shared" si="0"/>
        <v>2.5278006496695444E-2</v>
      </c>
      <c r="D27" s="12">
        <f t="shared" si="2"/>
        <v>505.56012993390885</v>
      </c>
      <c r="E27" s="4">
        <f t="shared" si="3"/>
        <v>2502.750145231319</v>
      </c>
      <c r="F27" s="13">
        <f t="shared" si="4"/>
        <v>1263.9003248347722</v>
      </c>
    </row>
    <row r="28" spans="1:7" x14ac:dyDescent="0.3">
      <c r="A28" t="s">
        <v>5</v>
      </c>
      <c r="B28" s="1">
        <f t="shared" si="1"/>
        <v>1.2500000000000001E-2</v>
      </c>
      <c r="C28" s="1">
        <f t="shared" si="0"/>
        <v>3.1597508120869304E-2</v>
      </c>
      <c r="D28" s="12">
        <f t="shared" si="2"/>
        <v>631.95016241738608</v>
      </c>
      <c r="E28" s="4">
        <f t="shared" si="3"/>
        <v>3128.4376815391488</v>
      </c>
      <c r="F28" s="13">
        <f t="shared" si="4"/>
        <v>1579.8754060434651</v>
      </c>
    </row>
    <row r="29" spans="1:7" ht="15" thickBot="1" x14ac:dyDescent="0.35">
      <c r="A29" t="s">
        <v>6</v>
      </c>
      <c r="B29" s="1">
        <f t="shared" si="1"/>
        <v>0</v>
      </c>
      <c r="C29" s="1">
        <f t="shared" si="0"/>
        <v>0</v>
      </c>
      <c r="D29" s="14">
        <f t="shared" si="2"/>
        <v>0</v>
      </c>
      <c r="E29" s="15">
        <f t="shared" si="3"/>
        <v>0</v>
      </c>
      <c r="F29" s="16">
        <f t="shared" si="4"/>
        <v>0</v>
      </c>
    </row>
    <row r="30" spans="1:7" x14ac:dyDescent="0.3">
      <c r="C30" s="7" t="str">
        <f>IF(B20=SUM(C24:C29),"VERDADE","FALSO")</f>
        <v>VERDADE</v>
      </c>
      <c r="D30" s="4"/>
      <c r="E30" s="4"/>
      <c r="F30" s="4"/>
      <c r="G30" s="8" t="str">
        <f>IF(C1=SUM(D24:F29),"VERDADE","FALSO")</f>
        <v>VERDADE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EXTERNO</vt:lpstr>
      <vt:lpstr>INTERNO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Cuti</dc:creator>
  <cp:lastModifiedBy>Thaisy  Lopes</cp:lastModifiedBy>
  <dcterms:created xsi:type="dcterms:W3CDTF">2025-12-08T14:54:34Z</dcterms:created>
  <dcterms:modified xsi:type="dcterms:W3CDTF">2026-05-14T17:12:12Z</dcterms:modified>
</cp:coreProperties>
</file>